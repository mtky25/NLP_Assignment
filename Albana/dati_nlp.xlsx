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an\Documents\Lusha\Albana\Polimi\Magistrale\Natural Language Processing\Assignment\"/>
    </mc:Choice>
  </mc:AlternateContent>
  <xr:revisionPtr revIDLastSave="0" documentId="8_{57C25224-228C-4133-9FD6-5E52CB011EB5}" xr6:coauthVersionLast="47" xr6:coauthVersionMax="47" xr10:uidLastSave="{00000000-0000-0000-0000-000000000000}"/>
  <bookViews>
    <workbookView xWindow="-108" yWindow="-108" windowWidth="23256" windowHeight="12456" activeTab="1" xr2:uid="{0724EB7D-E769-42D3-8864-7D9CE2D05097}"/>
  </bookViews>
  <sheets>
    <sheet name="Foglio1" sheetId="3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9" i="2" l="1"/>
  <c r="J89" i="2"/>
  <c r="I89" i="2"/>
  <c r="H89" i="2"/>
  <c r="G89" i="2"/>
  <c r="E89" i="2"/>
  <c r="D89" i="2"/>
  <c r="C89" i="2"/>
  <c r="B89" i="2"/>
  <c r="K74" i="2"/>
  <c r="J74" i="2"/>
  <c r="I74" i="2"/>
  <c r="H74" i="2"/>
  <c r="G74" i="2"/>
  <c r="K14" i="2"/>
  <c r="K29" i="2"/>
  <c r="K44" i="2"/>
  <c r="J44" i="2"/>
  <c r="I44" i="2"/>
  <c r="H44" i="2"/>
  <c r="G44" i="2"/>
  <c r="J29" i="2"/>
  <c r="I29" i="2"/>
  <c r="H29" i="2"/>
  <c r="G29" i="2"/>
  <c r="J14" i="2"/>
  <c r="I14" i="2"/>
  <c r="H14" i="2"/>
  <c r="G14" i="2"/>
  <c r="E74" i="2"/>
  <c r="D74" i="2"/>
  <c r="C74" i="2"/>
  <c r="B74" i="2"/>
  <c r="E44" i="2"/>
  <c r="D44" i="2"/>
  <c r="C44" i="2"/>
  <c r="B44" i="2"/>
  <c r="E29" i="2"/>
  <c r="D29" i="2"/>
  <c r="C29" i="2"/>
  <c r="B29" i="2"/>
  <c r="E14" i="2"/>
  <c r="D14" i="2"/>
  <c r="C14" i="2"/>
  <c r="B14" i="2"/>
</calcChain>
</file>

<file path=xl/sharedStrings.xml><?xml version="1.0" encoding="utf-8"?>
<sst xmlns="http://schemas.openxmlformats.org/spreadsheetml/2006/main" count="153" uniqueCount="35">
  <si>
    <t>TEXT MODE</t>
  </si>
  <si>
    <t>test 1</t>
  </si>
  <si>
    <t>test 2</t>
  </si>
  <si>
    <t>test 8</t>
  </si>
  <si>
    <t>test 4</t>
  </si>
  <si>
    <t>test 3</t>
  </si>
  <si>
    <t>test 5</t>
  </si>
  <si>
    <t>test 6</t>
  </si>
  <si>
    <t>test 7</t>
  </si>
  <si>
    <t>test 9</t>
  </si>
  <si>
    <t>test 10</t>
  </si>
  <si>
    <t>Mean Time [s]</t>
  </si>
  <si>
    <t>Mean Searching [s]</t>
  </si>
  <si>
    <t>Accuracy [%]</t>
  </si>
  <si>
    <t>Level reached</t>
  </si>
  <si>
    <t>Mean Reasoning [s]</t>
  </si>
  <si>
    <t>SPEECH MODE</t>
  </si>
  <si>
    <t>comp_id == 0 | Entertainment</t>
  </si>
  <si>
    <t>Mean time [s]</t>
  </si>
  <si>
    <t>Mean trascription [s]</t>
  </si>
  <si>
    <t>Mean trascription  [s]</t>
  </si>
  <si>
    <t>comp_id == 1 | Ancient History and Politics</t>
  </si>
  <si>
    <t>comp_id == 2 | Science and Nature</t>
  </si>
  <si>
    <t>comp_id == 3 | Maths</t>
  </si>
  <si>
    <t>comp_id == 4 | Philosophy and Psychology</t>
  </si>
  <si>
    <t>comp_id == 5 | News</t>
  </si>
  <si>
    <t>NOTES</t>
  </si>
  <si>
    <t>model</t>
  </si>
  <si>
    <t>Mistral-7B-Instruct-v0.3 4-bit</t>
  </si>
  <si>
    <t>embedding model</t>
  </si>
  <si>
    <t>RAM GPU</t>
  </si>
  <si>
    <t>12.8 GB</t>
  </si>
  <si>
    <t>System RAM</t>
  </si>
  <si>
    <t>6.9 GB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</si>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</sst>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CE9178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99CCFF"/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4034-478D-4BF5-927B-A0B44C679C47}">
  <dimension ref="A1:B5"/>
  <sheetViews>
    <sheetView workbookViewId="0">
      <selection activeCell="B7" sqref="B7"/>
    </sheetView>
  </sheetViews>
  <sheetFormatPr defaultRowHeight="14.4" x14ac:dyDescent="0.3"/>
  <cols>
    <col min="1" max="1" width="16.44140625" customWidth="1"/>
    <col min="2" max="2" width="49.6640625" customWidth="1"/>
  </cols>
  <sheetData>
    <row r="1" spans="1:2" x14ac:dyDescent="0.3">
      <c r="A1" t="s">
        <v>26</v>
      </c>
    </row>
    <row r="2" spans="1:2" x14ac:dyDescent="0.3">
      <c r="A2" t="s">
        <v>27</v>
      </c>
      <c r="B2" s="18" t="s">
        <v>28</v>
      </c>
    </row>
    <row r="3" spans="1:2" x14ac:dyDescent="0.3">
      <c r="A3" t="s">
        <v>29</v>
      </c>
      <c r="B3" t="s">
        <v>34</v>
      </c>
    </row>
    <row r="4" spans="1:2" x14ac:dyDescent="0.3">
      <c r="A4" t="s">
        <v>30</v>
      </c>
      <c r="B4" t="s">
        <v>31</v>
      </c>
    </row>
    <row r="5" spans="1:2" x14ac:dyDescent="0.3">
      <c r="A5" t="s">
        <v>32</v>
      </c>
      <c r="B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8D37-1704-486B-A6C6-4AE47B116E37}">
  <dimension ref="A1:O89"/>
  <sheetViews>
    <sheetView tabSelected="1" zoomScale="81" workbookViewId="0">
      <selection activeCell="D93" sqref="D93"/>
    </sheetView>
  </sheetViews>
  <sheetFormatPr defaultRowHeight="14.4" x14ac:dyDescent="0.3"/>
  <cols>
    <col min="1" max="1" width="8.88671875" style="1"/>
    <col min="2" max="2" width="15" style="7" customWidth="1"/>
    <col min="3" max="4" width="20.21875" style="7" customWidth="1"/>
    <col min="5" max="5" width="15" style="7" customWidth="1"/>
    <col min="6" max="6" width="12.77734375" style="7" customWidth="1"/>
    <col min="7" max="7" width="15" style="7" customWidth="1"/>
    <col min="8" max="10" width="20.21875" style="7" customWidth="1"/>
    <col min="11" max="11" width="15" style="7" customWidth="1"/>
    <col min="12" max="12" width="12.77734375" style="7" customWidth="1"/>
    <col min="13" max="15" width="8.88671875" style="7"/>
    <col min="16" max="16384" width="8.88671875" style="1"/>
  </cols>
  <sheetData>
    <row r="1" spans="1:12" x14ac:dyDescent="0.3">
      <c r="B1" s="22" t="s">
        <v>17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3">
      <c r="B2" s="24" t="s">
        <v>0</v>
      </c>
      <c r="C2" s="24"/>
      <c r="D2" s="24"/>
      <c r="E2" s="24"/>
      <c r="F2" s="24"/>
      <c r="G2" s="19" t="s">
        <v>16</v>
      </c>
      <c r="H2" s="20"/>
      <c r="I2" s="20"/>
      <c r="J2" s="20"/>
      <c r="K2" s="20"/>
      <c r="L2" s="21"/>
    </row>
    <row r="3" spans="1:12" x14ac:dyDescent="0.3">
      <c r="B3" s="11" t="s">
        <v>11</v>
      </c>
      <c r="C3" s="11" t="s">
        <v>12</v>
      </c>
      <c r="D3" s="11" t="s">
        <v>15</v>
      </c>
      <c r="E3" s="11" t="s">
        <v>13</v>
      </c>
      <c r="F3" s="11" t="s">
        <v>14</v>
      </c>
      <c r="G3" s="5" t="s">
        <v>18</v>
      </c>
      <c r="H3" s="5" t="s">
        <v>19</v>
      </c>
      <c r="I3" s="5" t="s">
        <v>12</v>
      </c>
      <c r="J3" s="5" t="s">
        <v>15</v>
      </c>
      <c r="K3" s="5" t="s">
        <v>13</v>
      </c>
      <c r="L3" s="5" t="s">
        <v>14</v>
      </c>
    </row>
    <row r="4" spans="1:12" x14ac:dyDescent="0.3">
      <c r="A4" s="2" t="s">
        <v>1</v>
      </c>
      <c r="B4" s="12">
        <v>11.31</v>
      </c>
      <c r="C4" s="6">
        <v>5.6</v>
      </c>
      <c r="D4" s="6">
        <v>5.4</v>
      </c>
      <c r="E4" s="6">
        <v>100</v>
      </c>
      <c r="F4" s="6">
        <v>15</v>
      </c>
      <c r="G4" s="12">
        <v>14.12</v>
      </c>
      <c r="H4" s="6">
        <v>1.83</v>
      </c>
      <c r="I4" s="6">
        <v>5.68</v>
      </c>
      <c r="J4" s="6">
        <v>6.61</v>
      </c>
      <c r="K4" s="6">
        <v>73.3</v>
      </c>
      <c r="L4" s="15">
        <v>11</v>
      </c>
    </row>
    <row r="5" spans="1:12" x14ac:dyDescent="0.3">
      <c r="A5" s="3" t="s">
        <v>2</v>
      </c>
      <c r="B5" s="13">
        <v>10.93</v>
      </c>
      <c r="C5" s="7">
        <v>5.24</v>
      </c>
      <c r="D5" s="7">
        <v>5.68</v>
      </c>
      <c r="E5" s="7">
        <v>60</v>
      </c>
      <c r="F5" s="7">
        <v>9</v>
      </c>
      <c r="G5" s="13">
        <v>13.58</v>
      </c>
      <c r="H5" s="7">
        <v>1.75</v>
      </c>
      <c r="I5" s="7">
        <v>5.62</v>
      </c>
      <c r="J5" s="7">
        <v>6.21</v>
      </c>
      <c r="K5" s="7">
        <v>53.3</v>
      </c>
      <c r="L5" s="16">
        <v>8</v>
      </c>
    </row>
    <row r="6" spans="1:12" x14ac:dyDescent="0.3">
      <c r="A6" s="3" t="s">
        <v>5</v>
      </c>
      <c r="B6" s="13">
        <v>10.41</v>
      </c>
      <c r="C6" s="7">
        <v>5.85</v>
      </c>
      <c r="D6" s="7">
        <v>4.57</v>
      </c>
      <c r="E6" s="7">
        <v>40</v>
      </c>
      <c r="F6" s="7">
        <v>6</v>
      </c>
      <c r="G6" s="13">
        <v>13.49</v>
      </c>
      <c r="H6" s="7">
        <v>1.7</v>
      </c>
      <c r="I6" s="7">
        <v>5.32</v>
      </c>
      <c r="J6" s="7">
        <v>6.46</v>
      </c>
      <c r="K6" s="7">
        <v>33.299999999999997</v>
      </c>
      <c r="L6" s="16">
        <v>5</v>
      </c>
    </row>
    <row r="7" spans="1:12" x14ac:dyDescent="0.3">
      <c r="A7" s="3" t="s">
        <v>4</v>
      </c>
      <c r="B7" s="13">
        <v>10.52</v>
      </c>
      <c r="C7" s="7">
        <v>5.49</v>
      </c>
      <c r="D7" s="7">
        <v>5.64</v>
      </c>
      <c r="E7" s="7">
        <v>100</v>
      </c>
      <c r="F7" s="7">
        <v>15</v>
      </c>
      <c r="G7" s="13">
        <v>14.65</v>
      </c>
      <c r="H7" s="7">
        <v>1.72</v>
      </c>
      <c r="I7" s="7">
        <v>5.95</v>
      </c>
      <c r="J7" s="7">
        <v>6.99</v>
      </c>
      <c r="K7" s="7">
        <v>40</v>
      </c>
      <c r="L7" s="16">
        <v>6</v>
      </c>
    </row>
    <row r="8" spans="1:12" x14ac:dyDescent="0.3">
      <c r="A8" s="3" t="s">
        <v>6</v>
      </c>
      <c r="B8" s="13">
        <v>10.78</v>
      </c>
      <c r="C8" s="7">
        <v>5.3</v>
      </c>
      <c r="D8" s="7">
        <v>4.47</v>
      </c>
      <c r="E8" s="7">
        <v>100</v>
      </c>
      <c r="F8" s="7">
        <v>15</v>
      </c>
      <c r="G8" s="13">
        <v>15.2</v>
      </c>
      <c r="H8" s="7">
        <v>3.03</v>
      </c>
      <c r="I8" s="7">
        <v>5.9</v>
      </c>
      <c r="J8" s="7">
        <v>6.27</v>
      </c>
      <c r="K8" s="7">
        <v>26.7</v>
      </c>
      <c r="L8" s="16">
        <v>4</v>
      </c>
    </row>
    <row r="9" spans="1:12" x14ac:dyDescent="0.3">
      <c r="A9" s="3" t="s">
        <v>7</v>
      </c>
      <c r="B9" s="13">
        <v>10.85</v>
      </c>
      <c r="C9" s="7">
        <v>5.53</v>
      </c>
      <c r="D9" s="7">
        <v>5.73</v>
      </c>
      <c r="E9" s="7">
        <v>100</v>
      </c>
      <c r="F9" s="7">
        <v>15</v>
      </c>
      <c r="G9" s="13">
        <v>13.01</v>
      </c>
      <c r="H9" s="7">
        <v>1.77</v>
      </c>
      <c r="I9" s="7">
        <v>5.82</v>
      </c>
      <c r="J9" s="7">
        <v>5.43</v>
      </c>
      <c r="K9" s="7">
        <v>33.299999999999997</v>
      </c>
      <c r="L9" s="16">
        <v>5</v>
      </c>
    </row>
    <row r="10" spans="1:12" x14ac:dyDescent="0.3">
      <c r="A10" s="3" t="s">
        <v>8</v>
      </c>
      <c r="B10" s="13">
        <v>11.11</v>
      </c>
      <c r="C10" s="7">
        <v>5.59</v>
      </c>
      <c r="D10" s="7">
        <v>5.52</v>
      </c>
      <c r="E10" s="7">
        <v>100</v>
      </c>
      <c r="F10" s="7">
        <v>15</v>
      </c>
      <c r="G10" s="13">
        <v>13.57</v>
      </c>
      <c r="H10" s="7">
        <v>1.74</v>
      </c>
      <c r="I10" s="7">
        <v>5.72</v>
      </c>
      <c r="J10" s="7">
        <v>6.11</v>
      </c>
      <c r="K10" s="7">
        <v>60</v>
      </c>
      <c r="L10" s="16">
        <v>9</v>
      </c>
    </row>
    <row r="11" spans="1:12" x14ac:dyDescent="0.3">
      <c r="A11" s="3" t="s">
        <v>3</v>
      </c>
      <c r="B11" s="13">
        <v>10.53</v>
      </c>
      <c r="C11" s="7">
        <v>5.65</v>
      </c>
      <c r="D11" s="7">
        <v>4.99</v>
      </c>
      <c r="E11" s="7">
        <v>67.7</v>
      </c>
      <c r="F11" s="7">
        <v>10</v>
      </c>
      <c r="G11" s="13">
        <v>14.46</v>
      </c>
      <c r="H11" s="7">
        <v>1.84</v>
      </c>
      <c r="I11" s="7">
        <v>5.7</v>
      </c>
      <c r="J11" s="7">
        <v>6.92</v>
      </c>
      <c r="K11" s="7">
        <v>33.299999999999997</v>
      </c>
      <c r="L11" s="16">
        <v>5</v>
      </c>
    </row>
    <row r="12" spans="1:12" x14ac:dyDescent="0.3">
      <c r="A12" s="3" t="s">
        <v>9</v>
      </c>
      <c r="B12" s="13">
        <v>10.51</v>
      </c>
      <c r="C12" s="7">
        <v>5.29</v>
      </c>
      <c r="D12" s="7">
        <v>5.23</v>
      </c>
      <c r="E12" s="7">
        <v>100</v>
      </c>
      <c r="F12" s="7">
        <v>15</v>
      </c>
      <c r="G12" s="13">
        <v>15.74</v>
      </c>
      <c r="H12" s="7">
        <v>2.93</v>
      </c>
      <c r="I12" s="7">
        <v>5.73</v>
      </c>
      <c r="J12" s="7">
        <v>7.07</v>
      </c>
      <c r="K12" s="7">
        <v>40</v>
      </c>
      <c r="L12" s="16">
        <v>6</v>
      </c>
    </row>
    <row r="13" spans="1:12" x14ac:dyDescent="0.3">
      <c r="A13" s="4" t="s">
        <v>10</v>
      </c>
      <c r="B13" s="14">
        <v>11.89</v>
      </c>
      <c r="C13" s="8">
        <v>5.58</v>
      </c>
      <c r="D13" s="8">
        <v>6.31</v>
      </c>
      <c r="E13" s="8">
        <v>40</v>
      </c>
      <c r="F13" s="8">
        <v>6</v>
      </c>
      <c r="G13" s="14">
        <v>12.86</v>
      </c>
      <c r="H13" s="8">
        <v>1.85</v>
      </c>
      <c r="I13" s="8">
        <v>5.5</v>
      </c>
      <c r="J13" s="8">
        <v>5.5</v>
      </c>
      <c r="K13" s="8">
        <v>33.299999999999997</v>
      </c>
      <c r="L13" s="17">
        <v>5</v>
      </c>
    </row>
    <row r="14" spans="1:12" x14ac:dyDescent="0.3">
      <c r="B14" s="9">
        <f>AVERAGE(B4:B13)</f>
        <v>10.884</v>
      </c>
      <c r="C14" s="9">
        <f>AVERAGE(C4:C13)</f>
        <v>5.5119999999999987</v>
      </c>
      <c r="D14" s="9">
        <f>AVERAGE(D4:D13)</f>
        <v>5.354000000000001</v>
      </c>
      <c r="E14" s="9">
        <f>AVERAGE(E4:E13)</f>
        <v>80.77000000000001</v>
      </c>
      <c r="G14" s="9">
        <f>AVERAGE(G4:G13)</f>
        <v>14.068000000000001</v>
      </c>
      <c r="H14" s="9">
        <f>AVERAGE(H4:H13)</f>
        <v>2.016</v>
      </c>
      <c r="I14" s="9">
        <f>AVERAGE(I4:I13)</f>
        <v>5.694</v>
      </c>
      <c r="J14" s="9">
        <f>AVERAGE(J4:J13)</f>
        <v>6.3570000000000011</v>
      </c>
      <c r="K14" s="9">
        <f>AVERAGE(K4:K13)</f>
        <v>42.65</v>
      </c>
    </row>
    <row r="16" spans="1:12" x14ac:dyDescent="0.3">
      <c r="B16" s="22" t="s">
        <v>21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2" x14ac:dyDescent="0.3">
      <c r="B17" s="24" t="s">
        <v>0</v>
      </c>
      <c r="C17" s="24"/>
      <c r="D17" s="24"/>
      <c r="E17" s="24"/>
      <c r="F17" s="24"/>
      <c r="G17" s="19" t="s">
        <v>16</v>
      </c>
      <c r="H17" s="20"/>
      <c r="I17" s="20"/>
      <c r="J17" s="20"/>
      <c r="K17" s="20"/>
      <c r="L17" s="21"/>
    </row>
    <row r="18" spans="1:12" x14ac:dyDescent="0.3">
      <c r="B18" s="11" t="s">
        <v>11</v>
      </c>
      <c r="C18" s="11" t="s">
        <v>12</v>
      </c>
      <c r="D18" s="11" t="s">
        <v>15</v>
      </c>
      <c r="E18" s="11" t="s">
        <v>13</v>
      </c>
      <c r="F18" s="11" t="s">
        <v>14</v>
      </c>
      <c r="G18" s="5" t="s">
        <v>18</v>
      </c>
      <c r="H18" s="5" t="s">
        <v>20</v>
      </c>
      <c r="I18" s="5" t="s">
        <v>12</v>
      </c>
      <c r="J18" s="5" t="s">
        <v>15</v>
      </c>
      <c r="K18" s="5" t="s">
        <v>13</v>
      </c>
      <c r="L18" s="5" t="s">
        <v>14</v>
      </c>
    </row>
    <row r="19" spans="1:12" x14ac:dyDescent="0.3">
      <c r="A19" s="2" t="s">
        <v>1</v>
      </c>
      <c r="B19" s="12">
        <v>10.36</v>
      </c>
      <c r="C19" s="6">
        <v>5.74</v>
      </c>
      <c r="D19" s="6">
        <v>4.62</v>
      </c>
      <c r="E19" s="6">
        <v>26.7</v>
      </c>
      <c r="F19" s="6">
        <v>4</v>
      </c>
      <c r="G19" s="12">
        <v>12.75</v>
      </c>
      <c r="H19" s="6">
        <v>1.61</v>
      </c>
      <c r="I19" s="6">
        <v>6.27</v>
      </c>
      <c r="J19" s="6">
        <v>4.87</v>
      </c>
      <c r="K19" s="6">
        <v>20</v>
      </c>
      <c r="L19" s="15">
        <v>3</v>
      </c>
    </row>
    <row r="20" spans="1:12" x14ac:dyDescent="0.3">
      <c r="A20" s="3" t="s">
        <v>2</v>
      </c>
      <c r="B20" s="13">
        <v>10.07</v>
      </c>
      <c r="C20" s="7">
        <v>5.71</v>
      </c>
      <c r="D20" s="7">
        <v>4.3600000000000003</v>
      </c>
      <c r="E20" s="7">
        <v>93.3</v>
      </c>
      <c r="F20" s="7">
        <v>14</v>
      </c>
      <c r="G20" s="13">
        <v>41.79</v>
      </c>
      <c r="H20" s="7">
        <v>1.85</v>
      </c>
      <c r="I20" s="7">
        <v>5.58</v>
      </c>
      <c r="J20" s="7">
        <v>7.37</v>
      </c>
      <c r="K20" s="7">
        <v>20</v>
      </c>
      <c r="L20" s="16">
        <v>3</v>
      </c>
    </row>
    <row r="21" spans="1:12" x14ac:dyDescent="0.3">
      <c r="A21" s="3" t="s">
        <v>5</v>
      </c>
      <c r="B21" s="13">
        <v>10.83</v>
      </c>
      <c r="C21" s="7">
        <v>5.86</v>
      </c>
      <c r="D21" s="7">
        <v>4.97</v>
      </c>
      <c r="E21" s="7">
        <v>60</v>
      </c>
      <c r="F21" s="7">
        <v>9</v>
      </c>
      <c r="G21" s="13">
        <v>15.63</v>
      </c>
      <c r="H21" s="7">
        <v>4.07</v>
      </c>
      <c r="I21" s="7">
        <v>6.54</v>
      </c>
      <c r="J21" s="7">
        <v>5.0199999999999996</v>
      </c>
      <c r="K21" s="7">
        <v>26.7</v>
      </c>
      <c r="L21" s="16">
        <v>4</v>
      </c>
    </row>
    <row r="22" spans="1:12" x14ac:dyDescent="0.3">
      <c r="A22" s="3" t="s">
        <v>4</v>
      </c>
      <c r="B22" s="13">
        <v>9.58</v>
      </c>
      <c r="C22" s="7">
        <v>5.4</v>
      </c>
      <c r="D22" s="7">
        <v>4.18</v>
      </c>
      <c r="E22" s="7">
        <v>46.7</v>
      </c>
      <c r="F22" s="7">
        <v>7</v>
      </c>
      <c r="G22" s="13">
        <v>14.39</v>
      </c>
      <c r="H22" s="7">
        <v>2.56</v>
      </c>
      <c r="I22" s="7">
        <v>6.75</v>
      </c>
      <c r="J22" s="7">
        <v>5.08</v>
      </c>
      <c r="K22" s="7">
        <v>47.7</v>
      </c>
      <c r="L22" s="16">
        <v>7</v>
      </c>
    </row>
    <row r="23" spans="1:12" x14ac:dyDescent="0.3">
      <c r="A23" s="3" t="s">
        <v>6</v>
      </c>
      <c r="B23" s="13">
        <v>10.01</v>
      </c>
      <c r="C23" s="7">
        <v>5.13</v>
      </c>
      <c r="D23" s="7">
        <v>4.88</v>
      </c>
      <c r="E23" s="7">
        <v>46.7</v>
      </c>
      <c r="F23" s="7">
        <v>7</v>
      </c>
      <c r="G23" s="13">
        <v>12.58</v>
      </c>
      <c r="H23" s="7">
        <v>1.73</v>
      </c>
      <c r="I23" s="7">
        <v>5.6</v>
      </c>
      <c r="J23" s="7">
        <v>5.25</v>
      </c>
      <c r="K23" s="7">
        <v>40</v>
      </c>
      <c r="L23" s="16">
        <v>6</v>
      </c>
    </row>
    <row r="24" spans="1:12" x14ac:dyDescent="0.3">
      <c r="A24" s="3" t="s">
        <v>7</v>
      </c>
      <c r="B24" s="13">
        <v>11.48</v>
      </c>
      <c r="C24" s="7">
        <v>5.93</v>
      </c>
      <c r="D24" s="7">
        <v>5.55</v>
      </c>
      <c r="E24" s="7">
        <v>53.3</v>
      </c>
      <c r="F24" s="7">
        <v>8</v>
      </c>
      <c r="G24" s="13">
        <v>14.29</v>
      </c>
      <c r="H24" s="7">
        <v>1.85</v>
      </c>
      <c r="I24" s="7">
        <v>6.3</v>
      </c>
      <c r="J24" s="7">
        <v>6.13</v>
      </c>
      <c r="K24" s="7">
        <v>33.299999999999997</v>
      </c>
      <c r="L24" s="16">
        <v>5</v>
      </c>
    </row>
    <row r="25" spans="1:12" x14ac:dyDescent="0.3">
      <c r="A25" s="3" t="s">
        <v>8</v>
      </c>
      <c r="B25" s="13">
        <v>10.63</v>
      </c>
      <c r="C25" s="7">
        <v>5.55</v>
      </c>
      <c r="D25" s="7">
        <v>5.08</v>
      </c>
      <c r="E25" s="7">
        <v>60</v>
      </c>
      <c r="F25" s="7">
        <v>9</v>
      </c>
      <c r="G25" s="13">
        <v>14.21</v>
      </c>
      <c r="H25" s="7">
        <v>2.48</v>
      </c>
      <c r="I25" s="7">
        <v>6.05</v>
      </c>
      <c r="J25" s="7">
        <v>5.68</v>
      </c>
      <c r="K25" s="7">
        <v>20</v>
      </c>
      <c r="L25" s="16">
        <v>3</v>
      </c>
    </row>
    <row r="26" spans="1:12" x14ac:dyDescent="0.3">
      <c r="A26" s="3" t="s">
        <v>3</v>
      </c>
      <c r="B26" s="13">
        <v>10.34</v>
      </c>
      <c r="C26" s="7">
        <v>5.64</v>
      </c>
      <c r="D26" s="7">
        <v>4.7</v>
      </c>
      <c r="E26" s="7">
        <v>60</v>
      </c>
      <c r="F26" s="7">
        <v>9</v>
      </c>
      <c r="G26" s="13">
        <v>14.36</v>
      </c>
      <c r="H26" s="7">
        <v>2.71</v>
      </c>
      <c r="I26" s="7">
        <v>5.8</v>
      </c>
      <c r="J26" s="7">
        <v>5.85</v>
      </c>
      <c r="K26" s="7">
        <v>26.7</v>
      </c>
      <c r="L26" s="16">
        <v>4</v>
      </c>
    </row>
    <row r="27" spans="1:12" x14ac:dyDescent="0.3">
      <c r="A27" s="3" t="s">
        <v>9</v>
      </c>
      <c r="B27" s="13">
        <v>10.81</v>
      </c>
      <c r="C27" s="7">
        <v>5.75</v>
      </c>
      <c r="D27" s="7">
        <v>5.0599999999999996</v>
      </c>
      <c r="E27" s="7">
        <v>33.299999999999997</v>
      </c>
      <c r="F27" s="7">
        <v>5</v>
      </c>
      <c r="G27" s="13">
        <v>12.65</v>
      </c>
      <c r="H27" s="7">
        <v>1.89</v>
      </c>
      <c r="I27" s="7">
        <v>5.52</v>
      </c>
      <c r="J27" s="7">
        <v>5.25</v>
      </c>
      <c r="K27" s="7">
        <v>33.299999999999997</v>
      </c>
      <c r="L27" s="16">
        <v>5</v>
      </c>
    </row>
    <row r="28" spans="1:12" x14ac:dyDescent="0.3">
      <c r="A28" s="4" t="s">
        <v>10</v>
      </c>
      <c r="B28" s="14">
        <v>10.63</v>
      </c>
      <c r="C28" s="8">
        <v>5.63</v>
      </c>
      <c r="D28" s="8">
        <v>5</v>
      </c>
      <c r="E28" s="8">
        <v>67.7</v>
      </c>
      <c r="F28" s="8">
        <v>10</v>
      </c>
      <c r="G28" s="14">
        <v>12.61</v>
      </c>
      <c r="H28" s="8">
        <v>1.8</v>
      </c>
      <c r="I28" s="8">
        <v>5.25</v>
      </c>
      <c r="J28" s="8">
        <v>5.56</v>
      </c>
      <c r="K28" s="8">
        <v>40</v>
      </c>
      <c r="L28" s="17">
        <v>6</v>
      </c>
    </row>
    <row r="29" spans="1:12" x14ac:dyDescent="0.3">
      <c r="B29" s="9">
        <f>AVERAGE(B19:B28)</f>
        <v>10.474</v>
      </c>
      <c r="C29" s="9">
        <f>AVERAGE(C19:C28)</f>
        <v>5.6339999999999995</v>
      </c>
      <c r="D29" s="9">
        <f>AVERAGE(D19:D28)</f>
        <v>4.8400000000000007</v>
      </c>
      <c r="E29" s="9">
        <f>AVERAGE(E19:E28)</f>
        <v>54.77</v>
      </c>
      <c r="G29" s="9">
        <f>AVERAGE(G19:G28)</f>
        <v>16.526</v>
      </c>
      <c r="H29" s="9">
        <f>AVERAGE(H19:H28)</f>
        <v>2.2549999999999999</v>
      </c>
      <c r="I29" s="9">
        <f>AVERAGE(I19:I28)</f>
        <v>5.9659999999999993</v>
      </c>
      <c r="J29" s="9">
        <f>AVERAGE(J19:J28)</f>
        <v>5.6059999999999999</v>
      </c>
      <c r="K29" s="9">
        <f>AVERAGE(K19:K28)</f>
        <v>30.77</v>
      </c>
    </row>
    <row r="31" spans="1:12" x14ac:dyDescent="0.3">
      <c r="B31" s="22" t="s">
        <v>22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x14ac:dyDescent="0.3">
      <c r="B32" s="24" t="s">
        <v>0</v>
      </c>
      <c r="C32" s="24"/>
      <c r="D32" s="24"/>
      <c r="E32" s="24"/>
      <c r="F32" s="24"/>
      <c r="G32" s="19" t="s">
        <v>16</v>
      </c>
      <c r="H32" s="20"/>
      <c r="I32" s="20"/>
      <c r="J32" s="20"/>
      <c r="K32" s="20"/>
      <c r="L32" s="21"/>
    </row>
    <row r="33" spans="1:12" x14ac:dyDescent="0.3">
      <c r="B33" s="11" t="s">
        <v>11</v>
      </c>
      <c r="C33" s="11" t="s">
        <v>12</v>
      </c>
      <c r="D33" s="11" t="s">
        <v>15</v>
      </c>
      <c r="E33" s="11" t="s">
        <v>13</v>
      </c>
      <c r="F33" s="11" t="s">
        <v>14</v>
      </c>
      <c r="G33" s="5" t="s">
        <v>18</v>
      </c>
      <c r="H33" s="5" t="s">
        <v>19</v>
      </c>
      <c r="I33" s="5" t="s">
        <v>12</v>
      </c>
      <c r="J33" s="5" t="s">
        <v>15</v>
      </c>
      <c r="K33" s="5" t="s">
        <v>13</v>
      </c>
      <c r="L33" s="5" t="s">
        <v>14</v>
      </c>
    </row>
    <row r="34" spans="1:12" x14ac:dyDescent="0.3">
      <c r="A34" s="2" t="s">
        <v>1</v>
      </c>
      <c r="B34" s="12">
        <v>12.64</v>
      </c>
      <c r="C34" s="6">
        <v>7.69</v>
      </c>
      <c r="D34" s="6">
        <v>4.96</v>
      </c>
      <c r="E34" s="6">
        <v>100</v>
      </c>
      <c r="F34" s="6">
        <v>15</v>
      </c>
      <c r="G34" s="12">
        <v>13.52</v>
      </c>
      <c r="H34" s="6">
        <v>1.66</v>
      </c>
      <c r="I34" s="6">
        <v>7.24</v>
      </c>
      <c r="J34" s="6">
        <v>4.62</v>
      </c>
      <c r="K34" s="6">
        <v>20</v>
      </c>
      <c r="L34" s="15">
        <v>3</v>
      </c>
    </row>
    <row r="35" spans="1:12" x14ac:dyDescent="0.3">
      <c r="A35" s="3" t="s">
        <v>2</v>
      </c>
      <c r="B35" s="13">
        <v>13.79</v>
      </c>
      <c r="C35" s="7">
        <v>8.07</v>
      </c>
      <c r="D35" s="7">
        <v>5.72</v>
      </c>
      <c r="E35" s="7">
        <v>100</v>
      </c>
      <c r="F35" s="7">
        <v>15</v>
      </c>
      <c r="G35" s="13">
        <v>17.12</v>
      </c>
      <c r="H35" s="7">
        <v>1.75</v>
      </c>
      <c r="I35" s="7">
        <v>7.8</v>
      </c>
      <c r="J35" s="7">
        <v>7.58</v>
      </c>
      <c r="K35" s="7">
        <v>20</v>
      </c>
      <c r="L35" s="16">
        <v>3</v>
      </c>
    </row>
    <row r="36" spans="1:12" x14ac:dyDescent="0.3">
      <c r="A36" s="3" t="s">
        <v>5</v>
      </c>
      <c r="B36" s="13">
        <v>14.31</v>
      </c>
      <c r="C36" s="7">
        <v>8.49</v>
      </c>
      <c r="D36" s="7">
        <v>5.83</v>
      </c>
      <c r="E36" s="7">
        <v>53.3</v>
      </c>
      <c r="F36" s="7">
        <v>8</v>
      </c>
      <c r="G36" s="13">
        <v>16.07</v>
      </c>
      <c r="H36" s="7">
        <v>2.04</v>
      </c>
      <c r="I36" s="7">
        <v>8.4499999999999993</v>
      </c>
      <c r="J36" s="7">
        <v>5.58</v>
      </c>
      <c r="K36" s="7">
        <v>46.7</v>
      </c>
      <c r="L36" s="16">
        <v>7</v>
      </c>
    </row>
    <row r="37" spans="1:12" x14ac:dyDescent="0.3">
      <c r="A37" s="3" t="s">
        <v>4</v>
      </c>
      <c r="B37" s="13">
        <v>14.56</v>
      </c>
      <c r="C37" s="7">
        <v>8.5</v>
      </c>
      <c r="D37" s="7">
        <v>6.06</v>
      </c>
      <c r="E37" s="7">
        <v>86.7</v>
      </c>
      <c r="F37" s="7">
        <v>13</v>
      </c>
      <c r="G37" s="13">
        <v>15.07</v>
      </c>
      <c r="H37" s="7">
        <v>1.9</v>
      </c>
      <c r="I37" s="7">
        <v>7.88</v>
      </c>
      <c r="J37" s="7">
        <v>5.29</v>
      </c>
      <c r="K37" s="7">
        <v>33.299999999999997</v>
      </c>
      <c r="L37" s="16">
        <v>5</v>
      </c>
    </row>
    <row r="38" spans="1:12" x14ac:dyDescent="0.3">
      <c r="A38" s="3" t="s">
        <v>6</v>
      </c>
      <c r="B38" s="13">
        <v>14.04</v>
      </c>
      <c r="C38" s="7">
        <v>8.15</v>
      </c>
      <c r="D38" s="7">
        <v>5.89</v>
      </c>
      <c r="E38" s="7">
        <v>100</v>
      </c>
      <c r="F38" s="7">
        <v>15</v>
      </c>
      <c r="G38" s="13">
        <v>16.04</v>
      </c>
      <c r="H38" s="7">
        <v>3.07</v>
      </c>
      <c r="I38" s="7">
        <v>7.78</v>
      </c>
      <c r="J38" s="7">
        <v>5.19</v>
      </c>
      <c r="K38" s="7">
        <v>33.299999999999997</v>
      </c>
      <c r="L38" s="16">
        <v>5</v>
      </c>
    </row>
    <row r="39" spans="1:12" x14ac:dyDescent="0.3">
      <c r="A39" s="3" t="s">
        <v>7</v>
      </c>
      <c r="B39" s="13">
        <v>14.68</v>
      </c>
      <c r="C39" s="7">
        <v>8.36</v>
      </c>
      <c r="D39" s="7">
        <v>6.32</v>
      </c>
      <c r="E39" s="7">
        <v>67.7</v>
      </c>
      <c r="F39" s="7">
        <v>10</v>
      </c>
      <c r="G39" s="13">
        <v>17.239999999999998</v>
      </c>
      <c r="H39" s="7">
        <v>2.57</v>
      </c>
      <c r="I39" s="7">
        <v>8.33</v>
      </c>
      <c r="J39" s="7">
        <v>6.34</v>
      </c>
      <c r="K39" s="7">
        <v>40</v>
      </c>
      <c r="L39" s="16">
        <v>6</v>
      </c>
    </row>
    <row r="40" spans="1:12" x14ac:dyDescent="0.3">
      <c r="A40" s="3" t="s">
        <v>8</v>
      </c>
      <c r="B40" s="13">
        <v>13.25</v>
      </c>
      <c r="C40" s="7">
        <v>8.41</v>
      </c>
      <c r="D40" s="7">
        <v>4.84</v>
      </c>
      <c r="E40" s="7">
        <v>53.3</v>
      </c>
      <c r="F40" s="7">
        <v>8</v>
      </c>
      <c r="G40" s="13">
        <v>17.87</v>
      </c>
      <c r="H40" s="7">
        <v>2.93</v>
      </c>
      <c r="I40" s="7">
        <v>8.48</v>
      </c>
      <c r="J40" s="7">
        <v>6.46</v>
      </c>
      <c r="K40" s="7">
        <v>46.7</v>
      </c>
      <c r="L40" s="16">
        <v>7</v>
      </c>
    </row>
    <row r="41" spans="1:12" x14ac:dyDescent="0.3">
      <c r="A41" s="3" t="s">
        <v>3</v>
      </c>
      <c r="B41" s="13">
        <v>13.91</v>
      </c>
      <c r="C41" s="7">
        <v>8.4</v>
      </c>
      <c r="D41" s="7">
        <v>5.51</v>
      </c>
      <c r="E41" s="7">
        <v>73.3</v>
      </c>
      <c r="F41" s="7">
        <v>11</v>
      </c>
      <c r="G41" s="13">
        <v>15.89</v>
      </c>
      <c r="H41" s="7">
        <v>1.81</v>
      </c>
      <c r="I41" s="7">
        <v>8.74</v>
      </c>
      <c r="J41" s="7">
        <v>5.35</v>
      </c>
      <c r="K41" s="7">
        <v>26.7</v>
      </c>
      <c r="L41" s="16">
        <v>4</v>
      </c>
    </row>
    <row r="42" spans="1:12" x14ac:dyDescent="0.3">
      <c r="A42" s="3" t="s">
        <v>9</v>
      </c>
      <c r="B42" s="13">
        <v>14.12</v>
      </c>
      <c r="C42" s="7">
        <v>8.41</v>
      </c>
      <c r="D42" s="7">
        <v>5.71</v>
      </c>
      <c r="E42" s="7">
        <v>100</v>
      </c>
      <c r="F42" s="7">
        <v>15</v>
      </c>
      <c r="G42" s="13">
        <v>17.93</v>
      </c>
      <c r="H42" s="7">
        <v>2.54</v>
      </c>
      <c r="I42" s="7">
        <v>8.57</v>
      </c>
      <c r="J42" s="7">
        <v>6.83</v>
      </c>
      <c r="K42" s="7">
        <v>46.7</v>
      </c>
      <c r="L42" s="16">
        <v>7</v>
      </c>
    </row>
    <row r="43" spans="1:12" x14ac:dyDescent="0.3">
      <c r="A43" s="4" t="s">
        <v>10</v>
      </c>
      <c r="B43" s="14">
        <v>13.51</v>
      </c>
      <c r="C43" s="8">
        <v>7.95</v>
      </c>
      <c r="D43" s="8">
        <v>5.56</v>
      </c>
      <c r="E43" s="8">
        <v>93.3</v>
      </c>
      <c r="F43" s="8">
        <v>14</v>
      </c>
      <c r="G43" s="14">
        <v>15.67</v>
      </c>
      <c r="H43" s="8">
        <v>1.75</v>
      </c>
      <c r="I43" s="8">
        <v>8.5500000000000007</v>
      </c>
      <c r="J43" s="8">
        <v>5.37</v>
      </c>
      <c r="K43" s="8">
        <v>40</v>
      </c>
      <c r="L43" s="17">
        <v>6</v>
      </c>
    </row>
    <row r="44" spans="1:12" x14ac:dyDescent="0.3">
      <c r="B44" s="9">
        <f>AVERAGE(B34:B43)</f>
        <v>13.881</v>
      </c>
      <c r="C44" s="9">
        <f>AVERAGE(C34:C43)</f>
        <v>8.2430000000000003</v>
      </c>
      <c r="D44" s="9">
        <f>AVERAGE(D34:D43)</f>
        <v>5.6400000000000006</v>
      </c>
      <c r="E44" s="9">
        <f>AVERAGE(E34:E43)</f>
        <v>82.759999999999991</v>
      </c>
      <c r="G44" s="9">
        <f>AVERAGE(G34:G43)</f>
        <v>16.241999999999997</v>
      </c>
      <c r="H44" s="9">
        <f>AVERAGE(H34:H43)</f>
        <v>2.202</v>
      </c>
      <c r="I44" s="9">
        <f>AVERAGE(I34:I43)</f>
        <v>8.1819999999999986</v>
      </c>
      <c r="J44" s="9">
        <f>AVERAGE(J34:J43)</f>
        <v>5.8609999999999998</v>
      </c>
      <c r="K44" s="9">
        <f>AVERAGE(K34:K43)</f>
        <v>35.339999999999996</v>
      </c>
    </row>
    <row r="46" spans="1:12" x14ac:dyDescent="0.3">
      <c r="B46" s="22" t="s">
        <v>23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1:12" x14ac:dyDescent="0.3">
      <c r="B47" s="24" t="s">
        <v>0</v>
      </c>
      <c r="C47" s="24"/>
      <c r="D47" s="24"/>
      <c r="E47" s="24"/>
      <c r="F47" s="24"/>
      <c r="G47" s="19" t="s">
        <v>16</v>
      </c>
      <c r="H47" s="20"/>
      <c r="I47" s="20"/>
      <c r="J47" s="20"/>
      <c r="K47" s="20"/>
      <c r="L47" s="21"/>
    </row>
    <row r="48" spans="1:12" x14ac:dyDescent="0.3">
      <c r="B48" s="11" t="s">
        <v>11</v>
      </c>
      <c r="C48" s="11" t="s">
        <v>12</v>
      </c>
      <c r="D48" s="11" t="s">
        <v>15</v>
      </c>
      <c r="E48" s="11" t="s">
        <v>13</v>
      </c>
      <c r="F48" s="11" t="s">
        <v>14</v>
      </c>
      <c r="G48" s="5" t="s">
        <v>18</v>
      </c>
      <c r="H48" s="5" t="s">
        <v>19</v>
      </c>
      <c r="I48" s="5" t="s">
        <v>12</v>
      </c>
      <c r="J48" s="5" t="s">
        <v>15</v>
      </c>
      <c r="K48" s="5" t="s">
        <v>13</v>
      </c>
      <c r="L48" s="5" t="s">
        <v>14</v>
      </c>
    </row>
    <row r="49" spans="1:12" x14ac:dyDescent="0.3">
      <c r="A49" s="2" t="s">
        <v>1</v>
      </c>
      <c r="B49" s="12"/>
      <c r="C49" s="6"/>
      <c r="D49" s="6"/>
      <c r="E49" s="6"/>
      <c r="F49" s="6"/>
      <c r="G49" s="12"/>
      <c r="H49" s="6"/>
      <c r="I49" s="6"/>
      <c r="J49" s="6"/>
      <c r="K49" s="6"/>
      <c r="L49" s="15"/>
    </row>
    <row r="50" spans="1:12" x14ac:dyDescent="0.3">
      <c r="A50" s="3" t="s">
        <v>2</v>
      </c>
      <c r="B50" s="13"/>
      <c r="G50" s="13"/>
      <c r="L50" s="16"/>
    </row>
    <row r="51" spans="1:12" x14ac:dyDescent="0.3">
      <c r="A51" s="3" t="s">
        <v>5</v>
      </c>
      <c r="B51" s="13"/>
      <c r="G51" s="13"/>
      <c r="L51" s="16"/>
    </row>
    <row r="52" spans="1:12" x14ac:dyDescent="0.3">
      <c r="A52" s="3" t="s">
        <v>4</v>
      </c>
      <c r="B52" s="13"/>
      <c r="G52" s="13"/>
      <c r="L52" s="16"/>
    </row>
    <row r="53" spans="1:12" x14ac:dyDescent="0.3">
      <c r="A53" s="3" t="s">
        <v>6</v>
      </c>
      <c r="B53" s="13"/>
      <c r="G53" s="13"/>
      <c r="L53" s="16"/>
    </row>
    <row r="54" spans="1:12" x14ac:dyDescent="0.3">
      <c r="A54" s="3" t="s">
        <v>7</v>
      </c>
      <c r="B54" s="13"/>
      <c r="G54" s="13"/>
      <c r="L54" s="16"/>
    </row>
    <row r="55" spans="1:12" x14ac:dyDescent="0.3">
      <c r="A55" s="3" t="s">
        <v>8</v>
      </c>
      <c r="B55" s="13"/>
      <c r="G55" s="13"/>
      <c r="L55" s="16"/>
    </row>
    <row r="56" spans="1:12" x14ac:dyDescent="0.3">
      <c r="A56" s="3" t="s">
        <v>3</v>
      </c>
      <c r="B56" s="13"/>
      <c r="G56" s="13"/>
      <c r="L56" s="16"/>
    </row>
    <row r="57" spans="1:12" x14ac:dyDescent="0.3">
      <c r="A57" s="3" t="s">
        <v>9</v>
      </c>
      <c r="B57" s="13"/>
      <c r="G57" s="13"/>
      <c r="L57" s="16"/>
    </row>
    <row r="58" spans="1:12" x14ac:dyDescent="0.3">
      <c r="A58" s="4" t="s">
        <v>10</v>
      </c>
      <c r="B58" s="14"/>
      <c r="C58" s="8"/>
      <c r="D58" s="8"/>
      <c r="E58" s="8"/>
      <c r="F58" s="8"/>
      <c r="G58" s="14"/>
      <c r="H58" s="8"/>
      <c r="I58" s="8"/>
      <c r="J58" s="8"/>
      <c r="K58" s="8"/>
      <c r="L58" s="17"/>
    </row>
    <row r="59" spans="1:12" x14ac:dyDescent="0.3">
      <c r="B59" s="9"/>
      <c r="C59" s="9"/>
      <c r="D59" s="9"/>
      <c r="E59" s="9"/>
      <c r="G59" s="9"/>
      <c r="H59" s="9"/>
      <c r="I59" s="9"/>
      <c r="J59" s="9"/>
      <c r="K59" s="9"/>
    </row>
    <row r="61" spans="1:12" x14ac:dyDescent="0.3">
      <c r="B61" s="22" t="s">
        <v>24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x14ac:dyDescent="0.3">
      <c r="B62" s="24" t="s">
        <v>0</v>
      </c>
      <c r="C62" s="24"/>
      <c r="D62" s="24"/>
      <c r="E62" s="24"/>
      <c r="F62" s="19"/>
      <c r="G62" s="19" t="s">
        <v>16</v>
      </c>
      <c r="H62" s="20"/>
      <c r="I62" s="20"/>
      <c r="J62" s="20"/>
      <c r="K62" s="20"/>
      <c r="L62" s="21"/>
    </row>
    <row r="63" spans="1:12" x14ac:dyDescent="0.3">
      <c r="B63" s="11" t="s">
        <v>11</v>
      </c>
      <c r="C63" s="11" t="s">
        <v>12</v>
      </c>
      <c r="D63" s="11" t="s">
        <v>15</v>
      </c>
      <c r="E63" s="11" t="s">
        <v>13</v>
      </c>
      <c r="F63" s="11" t="s">
        <v>14</v>
      </c>
      <c r="G63" s="10" t="s">
        <v>18</v>
      </c>
      <c r="H63" s="10" t="s">
        <v>19</v>
      </c>
      <c r="I63" s="10" t="s">
        <v>12</v>
      </c>
      <c r="J63" s="10" t="s">
        <v>15</v>
      </c>
      <c r="K63" s="10" t="s">
        <v>13</v>
      </c>
      <c r="L63" s="10" t="s">
        <v>14</v>
      </c>
    </row>
    <row r="64" spans="1:12" x14ac:dyDescent="0.3">
      <c r="A64" s="2" t="s">
        <v>1</v>
      </c>
      <c r="B64" s="12">
        <v>13.71</v>
      </c>
      <c r="C64" s="6">
        <v>8.19</v>
      </c>
      <c r="D64" s="6">
        <v>5.55</v>
      </c>
      <c r="E64" s="6">
        <v>100</v>
      </c>
      <c r="F64" s="6">
        <v>15</v>
      </c>
      <c r="G64" s="12">
        <v>14.6</v>
      </c>
      <c r="H64" s="6">
        <v>2.98</v>
      </c>
      <c r="I64" s="6">
        <v>8.4</v>
      </c>
      <c r="J64" s="6">
        <v>3.22</v>
      </c>
      <c r="K64" s="6">
        <v>40</v>
      </c>
      <c r="L64" s="15">
        <v>6</v>
      </c>
    </row>
    <row r="65" spans="1:12" x14ac:dyDescent="0.3">
      <c r="A65" s="3" t="s">
        <v>2</v>
      </c>
      <c r="B65" s="13">
        <v>13.69</v>
      </c>
      <c r="C65" s="7">
        <v>8.69</v>
      </c>
      <c r="D65" s="7">
        <v>5</v>
      </c>
      <c r="E65" s="7">
        <v>100</v>
      </c>
      <c r="F65" s="7">
        <v>15</v>
      </c>
      <c r="G65" s="13">
        <v>15.6</v>
      </c>
      <c r="H65" s="7">
        <v>2.2999999999999998</v>
      </c>
      <c r="I65" s="7">
        <v>8.27</v>
      </c>
      <c r="J65" s="7">
        <v>5.03</v>
      </c>
      <c r="K65" s="7">
        <v>67.7</v>
      </c>
      <c r="L65" s="16">
        <v>10</v>
      </c>
    </row>
    <row r="66" spans="1:12" x14ac:dyDescent="0.3">
      <c r="A66" s="3" t="s">
        <v>5</v>
      </c>
      <c r="B66" s="13">
        <v>13.39</v>
      </c>
      <c r="C66" s="7">
        <v>8.34</v>
      </c>
      <c r="D66" s="7">
        <v>5.05</v>
      </c>
      <c r="E66" s="7">
        <v>93.3</v>
      </c>
      <c r="F66" s="7">
        <v>14</v>
      </c>
      <c r="G66" s="13">
        <v>15.83</v>
      </c>
      <c r="H66" s="7">
        <v>2.39</v>
      </c>
      <c r="I66" s="7">
        <v>8.23</v>
      </c>
      <c r="J66" s="7">
        <v>5.21</v>
      </c>
      <c r="K66" s="7">
        <v>80</v>
      </c>
      <c r="L66" s="16">
        <v>12</v>
      </c>
    </row>
    <row r="67" spans="1:12" x14ac:dyDescent="0.3">
      <c r="A67" s="3" t="s">
        <v>4</v>
      </c>
      <c r="B67" s="13">
        <v>13.61</v>
      </c>
      <c r="C67" s="7">
        <v>8.64</v>
      </c>
      <c r="D67" s="7">
        <v>4.96</v>
      </c>
      <c r="E67" s="7">
        <v>100</v>
      </c>
      <c r="F67" s="7">
        <v>15</v>
      </c>
      <c r="G67" s="13">
        <v>16.5</v>
      </c>
      <c r="H67" s="7">
        <v>1.96</v>
      </c>
      <c r="I67" s="7">
        <v>8.52</v>
      </c>
      <c r="J67" s="7">
        <v>6.02</v>
      </c>
      <c r="K67" s="7">
        <v>100</v>
      </c>
      <c r="L67" s="16">
        <v>15</v>
      </c>
    </row>
    <row r="68" spans="1:12" x14ac:dyDescent="0.3">
      <c r="A68" s="3" t="s">
        <v>6</v>
      </c>
      <c r="B68" s="13">
        <v>15.55</v>
      </c>
      <c r="C68" s="7">
        <v>9.02</v>
      </c>
      <c r="D68" s="7">
        <v>5.52</v>
      </c>
      <c r="E68" s="7">
        <v>100</v>
      </c>
      <c r="F68" s="7">
        <v>15</v>
      </c>
      <c r="G68" s="13">
        <v>18.11</v>
      </c>
      <c r="H68" s="7">
        <v>2.88</v>
      </c>
      <c r="I68" s="7">
        <v>9.2899999999999991</v>
      </c>
      <c r="J68" s="7">
        <v>5.94</v>
      </c>
      <c r="K68" s="7">
        <v>67.7</v>
      </c>
      <c r="L68" s="16">
        <v>10</v>
      </c>
    </row>
    <row r="69" spans="1:12" x14ac:dyDescent="0.3">
      <c r="A69" s="3" t="s">
        <v>7</v>
      </c>
      <c r="B69" s="13">
        <v>15.63</v>
      </c>
      <c r="C69" s="7">
        <v>10.14</v>
      </c>
      <c r="D69" s="7">
        <v>5.54</v>
      </c>
      <c r="E69" s="7">
        <v>73.3</v>
      </c>
      <c r="F69" s="7">
        <v>11</v>
      </c>
      <c r="G69" s="13">
        <v>16.93</v>
      </c>
      <c r="H69" s="7">
        <v>1.85</v>
      </c>
      <c r="I69" s="7">
        <v>8.9700000000000006</v>
      </c>
      <c r="J69" s="7">
        <v>6.11</v>
      </c>
      <c r="K69" s="7">
        <v>60</v>
      </c>
      <c r="L69" s="16">
        <v>9</v>
      </c>
    </row>
    <row r="70" spans="1:12" x14ac:dyDescent="0.3">
      <c r="A70" s="3" t="s">
        <v>8</v>
      </c>
      <c r="B70" s="13">
        <v>13.96</v>
      </c>
      <c r="C70" s="7">
        <v>8.4700000000000006</v>
      </c>
      <c r="D70" s="7">
        <v>5.5</v>
      </c>
      <c r="E70" s="7">
        <v>100</v>
      </c>
      <c r="F70" s="7">
        <v>15</v>
      </c>
      <c r="G70" s="13">
        <v>16.97</v>
      </c>
      <c r="H70" s="7">
        <v>2.23</v>
      </c>
      <c r="I70" s="7">
        <v>8.8000000000000007</v>
      </c>
      <c r="J70" s="7">
        <v>5.94</v>
      </c>
      <c r="K70" s="7">
        <v>100</v>
      </c>
      <c r="L70" s="16">
        <v>15</v>
      </c>
    </row>
    <row r="71" spans="1:12" x14ac:dyDescent="0.3">
      <c r="A71" s="3" t="s">
        <v>3</v>
      </c>
      <c r="B71" s="13">
        <v>13.79</v>
      </c>
      <c r="C71" s="7">
        <v>8.19</v>
      </c>
      <c r="D71" s="7">
        <v>5.61</v>
      </c>
      <c r="E71" s="7">
        <v>93.3</v>
      </c>
      <c r="F71" s="7">
        <v>14</v>
      </c>
      <c r="G71" s="13">
        <v>16.38</v>
      </c>
      <c r="H71" s="7">
        <v>2.12</v>
      </c>
      <c r="I71" s="7">
        <v>8.7799999999999994</v>
      </c>
      <c r="J71" s="7">
        <v>5.48</v>
      </c>
      <c r="K71" s="7">
        <v>73.3</v>
      </c>
      <c r="L71" s="16">
        <v>11</v>
      </c>
    </row>
    <row r="72" spans="1:12" x14ac:dyDescent="0.3">
      <c r="A72" s="3" t="s">
        <v>9</v>
      </c>
      <c r="B72" s="13">
        <v>12.81</v>
      </c>
      <c r="C72" s="7">
        <v>8.18</v>
      </c>
      <c r="D72" s="7">
        <v>4.63</v>
      </c>
      <c r="E72" s="7">
        <v>80</v>
      </c>
      <c r="F72" s="7">
        <v>12</v>
      </c>
      <c r="G72" s="13">
        <v>15.66</v>
      </c>
      <c r="H72" s="7">
        <v>2.2400000000000002</v>
      </c>
      <c r="I72" s="7">
        <v>8.34</v>
      </c>
      <c r="J72" s="7">
        <v>5.08</v>
      </c>
      <c r="K72" s="7">
        <v>100</v>
      </c>
      <c r="L72" s="16">
        <v>15</v>
      </c>
    </row>
    <row r="73" spans="1:12" x14ac:dyDescent="0.3">
      <c r="A73" s="4" t="s">
        <v>10</v>
      </c>
      <c r="B73" s="14">
        <v>13.82</v>
      </c>
      <c r="C73" s="8">
        <v>8.82</v>
      </c>
      <c r="D73" s="8">
        <v>4.99</v>
      </c>
      <c r="E73" s="8">
        <v>100</v>
      </c>
      <c r="F73" s="8">
        <v>15</v>
      </c>
      <c r="G73" s="14">
        <v>17.28</v>
      </c>
      <c r="H73" s="8">
        <v>2.34</v>
      </c>
      <c r="I73" s="8">
        <v>9.1199999999999992</v>
      </c>
      <c r="J73" s="8">
        <v>5.82</v>
      </c>
      <c r="K73" s="8">
        <v>80</v>
      </c>
      <c r="L73" s="17">
        <v>12</v>
      </c>
    </row>
    <row r="74" spans="1:12" x14ac:dyDescent="0.3">
      <c r="B74" s="9">
        <f>AVERAGE(B64:B73)</f>
        <v>13.995999999999999</v>
      </c>
      <c r="C74" s="9">
        <f>AVERAGE(C64:C73)</f>
        <v>8.6679999999999975</v>
      </c>
      <c r="D74" s="9">
        <f>AVERAGE(D64:D73)</f>
        <v>5.2350000000000012</v>
      </c>
      <c r="E74" s="9">
        <f>AVERAGE(E64:E73)</f>
        <v>93.99</v>
      </c>
      <c r="G74" s="9">
        <f>AVERAGE(G64:G73)</f>
        <v>16.385999999999999</v>
      </c>
      <c r="H74" s="9">
        <f>AVERAGE(H64:H73)</f>
        <v>2.3289999999999997</v>
      </c>
      <c r="I74" s="9">
        <f>AVERAGE(I64:I73)</f>
        <v>8.6720000000000006</v>
      </c>
      <c r="J74" s="9">
        <f>AVERAGE(J64:J73)</f>
        <v>5.3849999999999998</v>
      </c>
      <c r="K74" s="9">
        <f>AVERAGE(K64:K73)</f>
        <v>76.86999999999999</v>
      </c>
    </row>
    <row r="76" spans="1:12" x14ac:dyDescent="0.3">
      <c r="B76" s="22" t="s">
        <v>25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spans="1:12" x14ac:dyDescent="0.3">
      <c r="B77" s="24" t="s">
        <v>0</v>
      </c>
      <c r="C77" s="24"/>
      <c r="D77" s="24"/>
      <c r="E77" s="24"/>
      <c r="F77" s="19"/>
      <c r="G77" s="19" t="s">
        <v>16</v>
      </c>
      <c r="H77" s="20"/>
      <c r="I77" s="20"/>
      <c r="J77" s="20"/>
      <c r="K77" s="20"/>
      <c r="L77" s="21"/>
    </row>
    <row r="78" spans="1:12" x14ac:dyDescent="0.3">
      <c r="B78" s="11" t="s">
        <v>11</v>
      </c>
      <c r="C78" s="11" t="s">
        <v>12</v>
      </c>
      <c r="D78" s="11" t="s">
        <v>15</v>
      </c>
      <c r="E78" s="11" t="s">
        <v>13</v>
      </c>
      <c r="F78" s="11" t="s">
        <v>14</v>
      </c>
      <c r="G78" s="10" t="s">
        <v>18</v>
      </c>
      <c r="H78" s="10" t="s">
        <v>19</v>
      </c>
      <c r="I78" s="10" t="s">
        <v>12</v>
      </c>
      <c r="J78" s="10" t="s">
        <v>15</v>
      </c>
      <c r="K78" s="10" t="s">
        <v>13</v>
      </c>
      <c r="L78" s="10" t="s">
        <v>14</v>
      </c>
    </row>
    <row r="79" spans="1:12" x14ac:dyDescent="0.3">
      <c r="A79" s="2" t="s">
        <v>1</v>
      </c>
      <c r="B79" s="12">
        <v>6.53</v>
      </c>
      <c r="C79" s="6">
        <v>0.62</v>
      </c>
      <c r="D79" s="6">
        <v>5.9</v>
      </c>
      <c r="E79" s="6">
        <v>33.299999999999997</v>
      </c>
      <c r="F79" s="6">
        <v>5</v>
      </c>
      <c r="G79" s="12">
        <v>9.83</v>
      </c>
      <c r="H79" s="6">
        <v>1.85</v>
      </c>
      <c r="I79" s="6">
        <v>2.89</v>
      </c>
      <c r="J79" s="6">
        <v>5.09</v>
      </c>
      <c r="K79" s="6">
        <v>26.7</v>
      </c>
      <c r="L79" s="15">
        <v>4</v>
      </c>
    </row>
    <row r="80" spans="1:12" x14ac:dyDescent="0.3">
      <c r="A80" s="3" t="s">
        <v>2</v>
      </c>
      <c r="B80" s="13">
        <v>17.43</v>
      </c>
      <c r="C80" s="7">
        <v>4.43</v>
      </c>
      <c r="D80" s="7">
        <v>13</v>
      </c>
      <c r="E80" s="7">
        <v>26.7</v>
      </c>
      <c r="F80" s="7">
        <v>4</v>
      </c>
      <c r="G80" s="13">
        <v>9.82</v>
      </c>
      <c r="H80" s="7">
        <v>1.84</v>
      </c>
      <c r="I80" s="7">
        <v>2.8</v>
      </c>
      <c r="J80" s="7">
        <v>5.18</v>
      </c>
      <c r="K80" s="7">
        <v>20</v>
      </c>
      <c r="L80" s="16">
        <v>3</v>
      </c>
    </row>
    <row r="81" spans="1:12" x14ac:dyDescent="0.3">
      <c r="A81" s="3" t="s">
        <v>5</v>
      </c>
      <c r="B81" s="13">
        <v>8.94</v>
      </c>
      <c r="C81" s="7">
        <v>3.92</v>
      </c>
      <c r="D81" s="7">
        <v>5.0199999999999996</v>
      </c>
      <c r="E81" s="7">
        <v>33.299999999999997</v>
      </c>
      <c r="F81" s="7">
        <v>5</v>
      </c>
      <c r="G81" s="13">
        <v>9.56</v>
      </c>
      <c r="H81" s="7">
        <v>1.8</v>
      </c>
      <c r="I81" s="7">
        <v>2.88</v>
      </c>
      <c r="J81" s="7">
        <v>4.8899999999999997</v>
      </c>
      <c r="K81" s="7">
        <v>26.7</v>
      </c>
      <c r="L81" s="16">
        <v>4</v>
      </c>
    </row>
    <row r="82" spans="1:12" x14ac:dyDescent="0.3">
      <c r="A82" s="3" t="s">
        <v>4</v>
      </c>
      <c r="B82" s="13">
        <v>11.2</v>
      </c>
      <c r="C82" s="7">
        <v>5.77</v>
      </c>
      <c r="D82" s="7">
        <v>5.25</v>
      </c>
      <c r="E82" s="7">
        <v>20</v>
      </c>
      <c r="F82" s="7">
        <v>3</v>
      </c>
      <c r="G82" s="13">
        <v>10.92</v>
      </c>
      <c r="H82" s="7">
        <v>1.97</v>
      </c>
      <c r="I82" s="7">
        <v>3.23</v>
      </c>
      <c r="J82" s="7">
        <v>5.71</v>
      </c>
      <c r="K82" s="7">
        <v>13.3</v>
      </c>
      <c r="L82" s="16">
        <v>2</v>
      </c>
    </row>
    <row r="83" spans="1:12" x14ac:dyDescent="0.3">
      <c r="A83" s="3" t="s">
        <v>6</v>
      </c>
      <c r="B83" s="13">
        <v>9.08</v>
      </c>
      <c r="C83" s="7">
        <v>3.89</v>
      </c>
      <c r="D83" s="7">
        <v>5.19</v>
      </c>
      <c r="E83" s="7">
        <v>100</v>
      </c>
      <c r="F83" s="7">
        <v>15</v>
      </c>
      <c r="G83" s="13">
        <v>11.01</v>
      </c>
      <c r="H83" s="7">
        <v>1.91</v>
      </c>
      <c r="I83" s="7">
        <v>2.98</v>
      </c>
      <c r="J83" s="7">
        <v>6.11</v>
      </c>
      <c r="K83" s="7">
        <v>20</v>
      </c>
      <c r="L83" s="16">
        <v>3</v>
      </c>
    </row>
    <row r="84" spans="1:12" x14ac:dyDescent="0.3">
      <c r="A84" s="3" t="s">
        <v>7</v>
      </c>
      <c r="B84" s="13">
        <v>9.1199999999999992</v>
      </c>
      <c r="C84" s="7">
        <v>3.88</v>
      </c>
      <c r="D84" s="7">
        <v>5.24</v>
      </c>
      <c r="E84" s="7">
        <v>33.299999999999997</v>
      </c>
      <c r="F84" s="7">
        <v>5</v>
      </c>
      <c r="G84" s="13">
        <v>11.14</v>
      </c>
      <c r="H84" s="7">
        <v>1.97</v>
      </c>
      <c r="I84" s="7">
        <v>3.23</v>
      </c>
      <c r="J84" s="7">
        <v>5.93</v>
      </c>
      <c r="K84" s="7">
        <v>26.7</v>
      </c>
      <c r="L84" s="16">
        <v>4</v>
      </c>
    </row>
    <row r="85" spans="1:12" x14ac:dyDescent="0.3">
      <c r="A85" s="3" t="s">
        <v>8</v>
      </c>
      <c r="B85" s="13">
        <v>10.29</v>
      </c>
      <c r="C85" s="7">
        <v>5.39</v>
      </c>
      <c r="D85" s="7">
        <v>4.9000000000000004</v>
      </c>
      <c r="E85" s="7">
        <v>47.7</v>
      </c>
      <c r="F85" s="7">
        <v>7</v>
      </c>
      <c r="G85" s="13">
        <v>11.88</v>
      </c>
      <c r="H85" s="7">
        <v>1.94</v>
      </c>
      <c r="I85" s="7">
        <v>3.29</v>
      </c>
      <c r="J85" s="7">
        <v>6.64</v>
      </c>
      <c r="K85" s="7">
        <v>20</v>
      </c>
      <c r="L85" s="16">
        <v>3</v>
      </c>
    </row>
    <row r="86" spans="1:12" x14ac:dyDescent="0.3">
      <c r="A86" s="3" t="s">
        <v>3</v>
      </c>
      <c r="B86" s="13">
        <v>9.2200000000000006</v>
      </c>
      <c r="C86" s="7">
        <v>3.38</v>
      </c>
      <c r="D86" s="7">
        <v>5.84</v>
      </c>
      <c r="E86" s="7">
        <v>80</v>
      </c>
      <c r="F86" s="7">
        <v>12</v>
      </c>
      <c r="G86" s="13">
        <v>11.22</v>
      </c>
      <c r="H86" s="7">
        <v>1.79</v>
      </c>
      <c r="I86" s="7">
        <v>3.19</v>
      </c>
      <c r="J86" s="7">
        <v>6.24</v>
      </c>
      <c r="K86" s="7">
        <v>20</v>
      </c>
      <c r="L86" s="16">
        <v>3</v>
      </c>
    </row>
    <row r="87" spans="1:12" x14ac:dyDescent="0.3">
      <c r="A87" s="3" t="s">
        <v>9</v>
      </c>
      <c r="B87" s="13">
        <v>7.9</v>
      </c>
      <c r="C87" s="7">
        <v>2.96</v>
      </c>
      <c r="D87" s="7">
        <v>4.9400000000000004</v>
      </c>
      <c r="E87" s="7">
        <v>33.299999999999997</v>
      </c>
      <c r="F87" s="7">
        <v>5</v>
      </c>
      <c r="G87" s="13">
        <v>11.23</v>
      </c>
      <c r="H87" s="7">
        <v>1.83</v>
      </c>
      <c r="I87" s="7">
        <v>3.18</v>
      </c>
      <c r="J87" s="7">
        <v>6.21</v>
      </c>
      <c r="K87" s="7">
        <v>67.7</v>
      </c>
      <c r="L87" s="16">
        <v>10</v>
      </c>
    </row>
    <row r="88" spans="1:12" x14ac:dyDescent="0.3">
      <c r="A88" s="4" t="s">
        <v>10</v>
      </c>
      <c r="B88" s="14">
        <v>8.07</v>
      </c>
      <c r="C88" s="8">
        <v>3.01</v>
      </c>
      <c r="D88" s="8">
        <v>5.0599999999999996</v>
      </c>
      <c r="E88" s="8">
        <v>60</v>
      </c>
      <c r="F88" s="8">
        <v>9</v>
      </c>
      <c r="G88" s="14">
        <v>10.99</v>
      </c>
      <c r="H88" s="8">
        <v>1.83</v>
      </c>
      <c r="I88" s="8">
        <v>3.18</v>
      </c>
      <c r="J88" s="8">
        <v>5.98</v>
      </c>
      <c r="K88" s="8">
        <v>60</v>
      </c>
      <c r="L88" s="17">
        <v>9</v>
      </c>
    </row>
    <row r="89" spans="1:12" x14ac:dyDescent="0.3">
      <c r="B89" s="9">
        <f>AVERAGE(B79:B88)</f>
        <v>9.7780000000000005</v>
      </c>
      <c r="C89" s="9">
        <f>AVERAGE(C79:C88)</f>
        <v>3.7249999999999992</v>
      </c>
      <c r="D89" s="9">
        <f>AVERAGE(D79:D88)</f>
        <v>6.0340000000000007</v>
      </c>
      <c r="E89" s="9">
        <f>AVERAGE(E79:E88)</f>
        <v>46.760000000000005</v>
      </c>
      <c r="G89" s="9">
        <f>AVERAGE(G79:G88)</f>
        <v>10.76</v>
      </c>
      <c r="H89" s="9">
        <f>AVERAGE(H79:H88)</f>
        <v>1.8729999999999998</v>
      </c>
      <c r="I89" s="9">
        <f>AVERAGE(I79:I88)</f>
        <v>3.085</v>
      </c>
      <c r="J89" s="9">
        <f>AVERAGE(J79:J88)</f>
        <v>5.798</v>
      </c>
      <c r="K89" s="9">
        <f>AVERAGE(K79:K88)</f>
        <v>30.110000000000003</v>
      </c>
    </row>
  </sheetData>
  <mergeCells count="18">
    <mergeCell ref="B1:L1"/>
    <mergeCell ref="G2:L2"/>
    <mergeCell ref="G17:L17"/>
    <mergeCell ref="G32:L32"/>
    <mergeCell ref="G47:L47"/>
    <mergeCell ref="B47:F47"/>
    <mergeCell ref="B2:F2"/>
    <mergeCell ref="B17:F17"/>
    <mergeCell ref="B32:F32"/>
    <mergeCell ref="G77:L77"/>
    <mergeCell ref="B16:L16"/>
    <mergeCell ref="B31:L31"/>
    <mergeCell ref="B46:L46"/>
    <mergeCell ref="B61:L61"/>
    <mergeCell ref="B76:L76"/>
    <mergeCell ref="G62:L62"/>
    <mergeCell ref="B62:F62"/>
    <mergeCell ref="B77:F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Albana Lusha</dc:creator>
  <cp:lastModifiedBy>Albana Lusha</cp:lastModifiedBy>
  <dcterms:created xsi:type="dcterms:W3CDTF">2026-05-31T13:10:44Z</dcterms:created>
  <dcterms:modified xsi:type="dcterms:W3CDTF">2026-06-02T15:58:03Z</dcterms:modified>
</cp:coreProperties>
</file>